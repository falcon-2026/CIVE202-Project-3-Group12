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uofnebraska-my.sharepoint.com/personal/73568867_nebraska_edu/Documents/"/>
    </mc:Choice>
  </mc:AlternateContent>
  <xr:revisionPtr revIDLastSave="0" documentId="8_{2E6511F6-0236-4E2A-96F0-95BB1AD1839C}" xr6:coauthVersionLast="47" xr6:coauthVersionMax="47" xr10:uidLastSave="{00000000-0000-0000-0000-000000000000}"/>
  <bookViews>
    <workbookView xWindow="2304" yWindow="2088" windowWidth="19764" windowHeight="12312"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1" l="1"/>
  <c r="E14" i="11"/>
  <c r="I4" i="11"/>
  <c r="H7" i="11"/>
  <c r="F18" i="11" l="1"/>
  <c r="E19" i="11" s="1"/>
  <c r="F9" i="11"/>
  <c r="H28" i="11"/>
  <c r="H27" i="11"/>
  <c r="H22" i="11"/>
  <c r="H17" i="11"/>
  <c r="H12" i="11"/>
  <c r="H8" i="11"/>
  <c r="H18" i="11" l="1"/>
  <c r="F19" i="11"/>
  <c r="H19" i="11" s="1"/>
  <c r="H9" i="11"/>
  <c r="F20" i="11"/>
  <c r="F10" i="11"/>
  <c r="E11" i="11" s="1"/>
  <c r="I6" i="11"/>
  <c r="F21" i="11" l="1"/>
  <c r="H21" i="11" s="1"/>
  <c r="H10" i="11"/>
  <c r="H20" i="11"/>
  <c r="F14" i="11"/>
  <c r="F13" i="11"/>
  <c r="H13" i="11" s="1"/>
  <c r="F11" i="11"/>
  <c r="K5" i="11"/>
  <c r="L5" i="11" s="1"/>
  <c r="M5" i="11" l="1"/>
  <c r="N5" i="11" s="1"/>
  <c r="O5" i="11" s="1"/>
  <c r="P5" i="11" s="1"/>
  <c r="E24" i="11"/>
  <c r="H14" i="11"/>
  <c r="E15" i="11"/>
  <c r="E16" i="11" s="1"/>
  <c r="H11" i="11"/>
  <c r="Q5" i="11"/>
  <c r="R5" i="11" s="1"/>
  <c r="S5" i="11" s="1"/>
  <c r="T5" i="11" s="1"/>
  <c r="U5" i="11" s="1"/>
  <c r="V5" i="11" s="1"/>
  <c r="W5" i="11" s="1"/>
  <c r="J6" i="11"/>
  <c r="F16" i="11" l="1"/>
  <c r="H16" i="11" s="1"/>
  <c r="F15" i="11"/>
  <c r="H15" i="11" s="1"/>
  <c r="X5" i="11"/>
  <c r="K6" i="11"/>
  <c r="Y5" i="11" l="1"/>
  <c r="Z5" i="11" s="1"/>
  <c r="AA5" i="11" s="1"/>
  <c r="H25" i="11"/>
  <c r="H26" i="11"/>
  <c r="H23" i="11"/>
  <c r="F24" i="11"/>
  <c r="H24" i="11" s="1"/>
  <c r="L6" i="11"/>
  <c r="AB5" i="11" l="1"/>
  <c r="AC5" i="11" s="1"/>
  <c r="M6" i="11"/>
  <c r="N6" i="11" l="1"/>
  <c r="O6" i="11" l="1"/>
  <c r="P6" i="11" l="1"/>
  <c r="Q6" i="11"/>
  <c r="R6" i="11" l="1"/>
  <c r="S6" i="11" l="1"/>
  <c r="T6" i="11" l="1"/>
  <c r="U6" i="11" l="1"/>
  <c r="V6" i="11" l="1"/>
  <c r="W6" i="11" l="1"/>
  <c r="X6" i="11" l="1"/>
  <c r="Y6" i="11" l="1"/>
  <c r="Z6" i="11" l="1"/>
  <c r="AA6" i="11" l="1"/>
  <c r="AB6" i="11" l="1"/>
  <c r="AC6" i="11" l="1"/>
</calcChain>
</file>

<file path=xl/sharedStrings.xml><?xml version="1.0" encoding="utf-8"?>
<sst xmlns="http://schemas.openxmlformats.org/spreadsheetml/2006/main" count="42" uniqueCount="38">
  <si>
    <t>Project start:</t>
  </si>
  <si>
    <t>Section 151</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</si>
  <si>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</si>
  <si>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</si>
  <si>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</si>
  <si>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</si>
  <si>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</si>
  <si>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</si>
  <si>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</si>
  <si>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</si>
  <si>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</si>
  <si>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Writing</t>
  </si>
  <si>
    <t>Ben Wehrbein</t>
  </si>
  <si>
    <t>Client Request</t>
  </si>
  <si>
    <t>Report</t>
  </si>
  <si>
    <t>Results and Discussion</t>
  </si>
  <si>
    <t>READ ME</t>
  </si>
  <si>
    <t>Insert new rows ABOVE this one</t>
  </si>
  <si>
    <t>Bar chart information and all the variables that go along with it</t>
  </si>
  <si>
    <t>Simulation Study</t>
  </si>
  <si>
    <t>A Timesheet</t>
  </si>
  <si>
    <t>Annototated Code Document</t>
  </si>
  <si>
    <t>Project 3</t>
  </si>
  <si>
    <t>Group 12</t>
  </si>
  <si>
    <t xml:space="preserve">Whole Group, each uploading their resepctive time </t>
  </si>
  <si>
    <t>Methods</t>
  </si>
  <si>
    <t>Introduction</t>
  </si>
  <si>
    <t>References</t>
  </si>
  <si>
    <t>Macy</t>
  </si>
  <si>
    <t>Trajectory Calculations and Simulations</t>
  </si>
  <si>
    <t>Compiling GitHub</t>
  </si>
  <si>
    <t xml:space="preserve">GitHub </t>
  </si>
  <si>
    <t>Scope of Work</t>
  </si>
  <si>
    <t>Tessa, Ben, Macy</t>
  </si>
  <si>
    <t>Ben</t>
  </si>
  <si>
    <t>Macy, Ben</t>
  </si>
  <si>
    <t>Ben, Tessa, Cam</t>
  </si>
  <si>
    <t>Tessa, Cam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</si>
</sst>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6"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s>
  <borders count="24">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0.14993743705557422"/>
      </left>
      <right/>
      <top/>
      <bottom/>
      <diagonal/>
    </border>
    <border>
      <left style="thin">
        <color theme="0" tint="-4.9989318521683403E-2"/>
      </left>
      <right/>
      <top style="thin">
        <color theme="0" tint="-4.9989318521683403E-2"/>
      </top>
      <bottom style="thin">
        <color theme="0" tint="-4.9989318521683403E-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7" fillId="12" borderId="20" xfId="0" applyNumberFormat="1" applyFont="1" applyFill="1" applyBorder="1" applyAlignment="1">
      <alignment horizontal="center" vertical="center"/>
    </xf>
    <xf numFmtId="167" fontId="17" fillId="12" borderId="18" xfId="0" applyNumberFormat="1" applyFont="1" applyFill="1" applyBorder="1" applyAlignment="1">
      <alignment horizontal="center" vertical="center"/>
    </xf>
    <xf numFmtId="167" fontId="17" fillId="12"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1" applyFont="1" applyFill="1" applyBorder="1" applyAlignment="1">
      <alignment vertical="center"/>
    </xf>
    <xf numFmtId="9" fontId="1" fillId="6" borderId="0" xfId="2" applyFont="1" applyFill="1" applyBorder="1" applyAlignment="1">
      <alignment horizontal="center" vertical="center"/>
    </xf>
    <xf numFmtId="164" fontId="15"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9" fontId="1" fillId="3" borderId="6" xfId="2" applyFont="1" applyFill="1" applyBorder="1" applyAlignment="1">
      <alignment horizontal="center" vertical="center"/>
    </xf>
    <xf numFmtId="164" fontId="15" fillId="3" borderId="6" xfId="10" applyFont="1" applyFill="1" applyBorder="1">
      <alignment horizontal="center" vertical="center"/>
    </xf>
    <xf numFmtId="0" fontId="4" fillId="0" borderId="4" xfId="0" applyFont="1" applyBorder="1" applyAlignment="1">
      <alignment vertical="center"/>
    </xf>
    <xf numFmtId="0" fontId="15" fillId="3" borderId="7" xfId="12" applyFont="1" applyFill="1" applyBorder="1">
      <alignment horizontal="left" vertical="center" indent="2"/>
    </xf>
    <xf numFmtId="0" fontId="15" fillId="3" borderId="7" xfId="11" applyFont="1" applyFill="1" applyBorder="1" applyAlignment="1">
      <alignment vertical="center"/>
    </xf>
    <xf numFmtId="9" fontId="1" fillId="3" borderId="7" xfId="2" applyFont="1" applyFill="1" applyBorder="1" applyAlignment="1">
      <alignment horizontal="center" vertical="center"/>
    </xf>
    <xf numFmtId="164" fontId="15" fillId="3" borderId="7" xfId="10" applyFont="1" applyFill="1" applyBorder="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1" applyFont="1" applyFill="1" applyBorder="1" applyAlignment="1">
      <alignment vertical="center"/>
    </xf>
    <xf numFmtId="9" fontId="1" fillId="7" borderId="0" xfId="2" applyFont="1" applyFill="1" applyBorder="1" applyAlignment="1">
      <alignment horizontal="center" vertical="center"/>
    </xf>
    <xf numFmtId="164" fontId="15"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5" fillId="4" borderId="5" xfId="11" applyFont="1" applyFill="1" applyBorder="1" applyAlignment="1">
      <alignment vertical="center"/>
    </xf>
    <xf numFmtId="9" fontId="1" fillId="4" borderId="5" xfId="2" applyFont="1" applyFill="1" applyBorder="1" applyAlignment="1">
      <alignment horizontal="center" vertical="center"/>
    </xf>
    <xf numFmtId="164" fontId="15" fillId="4" borderId="5" xfId="10" applyFont="1" applyFill="1" applyBorder="1">
      <alignment horizontal="center" vertical="center"/>
    </xf>
    <xf numFmtId="0" fontId="19" fillId="8" borderId="0" xfId="0" applyFont="1" applyFill="1" applyAlignment="1">
      <alignment horizontal="left" vertical="center" indent="1"/>
    </xf>
    <xf numFmtId="0" fontId="15" fillId="8" borderId="0" xfId="11" applyFont="1" applyFill="1" applyBorder="1" applyAlignment="1">
      <alignment vertical="center"/>
    </xf>
    <xf numFmtId="9" fontId="1" fillId="8" borderId="0" xfId="2" applyFont="1" applyFill="1" applyBorder="1" applyAlignment="1">
      <alignment horizontal="center" vertical="center"/>
    </xf>
    <xf numFmtId="164" fontId="15"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5" fillId="5" borderId="8" xfId="12" applyFont="1" applyFill="1" applyBorder="1">
      <alignment horizontal="left" vertical="center" indent="2"/>
    </xf>
    <xf numFmtId="0" fontId="15" fillId="5" borderId="8" xfId="11" applyFont="1" applyFill="1" applyBorder="1" applyAlignment="1">
      <alignment vertical="center"/>
    </xf>
    <xf numFmtId="9" fontId="1" fillId="5" borderId="8" xfId="2" applyFont="1" applyFill="1" applyBorder="1" applyAlignment="1">
      <alignment horizontal="center" vertical="center"/>
    </xf>
    <xf numFmtId="164" fontId="15" fillId="5" borderId="8" xfId="10" applyFont="1" applyFill="1" applyBorder="1">
      <alignment horizontal="center" vertical="center"/>
    </xf>
    <xf numFmtId="0" fontId="19" fillId="9" borderId="0" xfId="0" applyFont="1" applyFill="1" applyAlignment="1">
      <alignment horizontal="left" vertical="center" indent="1"/>
    </xf>
    <xf numFmtId="0" fontId="15" fillId="9" borderId="0" xfId="11" applyFont="1" applyFill="1" applyBorder="1" applyAlignment="1">
      <alignment vertical="center"/>
    </xf>
    <xf numFmtId="9" fontId="1" fillId="9" borderId="0" xfId="2" applyFont="1" applyFill="1" applyBorder="1" applyAlignment="1">
      <alignment horizontal="center" vertical="center"/>
    </xf>
    <xf numFmtId="164" fontId="15"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5" fillId="10" borderId="9" xfId="12" applyFont="1" applyFill="1" applyBorder="1">
      <alignment horizontal="left" vertical="center" indent="2"/>
    </xf>
    <xf numFmtId="0" fontId="15" fillId="10" borderId="9" xfId="11" applyFont="1" applyFill="1" applyBorder="1" applyAlignment="1">
      <alignment vertical="center"/>
    </xf>
    <xf numFmtId="9" fontId="1" fillId="10" borderId="9" xfId="2" applyFont="1" applyFill="1" applyBorder="1" applyAlignment="1">
      <alignment horizontal="center" vertical="center"/>
    </xf>
    <xf numFmtId="164" fontId="15" fillId="10" borderId="9" xfId="10" applyFont="1" applyFill="1" applyBorder="1">
      <alignment horizontal="center" vertical="center"/>
    </xf>
    <xf numFmtId="0" fontId="15" fillId="0" borderId="0" xfId="12" applyFont="1" applyBorder="1">
      <alignment horizontal="left" vertical="center" indent="2"/>
    </xf>
    <xf numFmtId="0" fontId="15" fillId="0" borderId="0" xfId="11" applyFont="1" applyBorder="1" applyAlignment="1">
      <alignment vertical="center"/>
    </xf>
    <xf numFmtId="9" fontId="1" fillId="0" borderId="0" xfId="2" applyFont="1" applyBorder="1" applyAlignment="1">
      <alignment horizontal="center" vertical="center"/>
    </xf>
    <xf numFmtId="164" fontId="15" fillId="0" borderId="0" xfId="10" applyFont="1" applyBorder="1">
      <alignment horizontal="center" vertical="center"/>
    </xf>
    <xf numFmtId="0" fontId="20" fillId="2" borderId="0" xfId="0" applyFont="1" applyFill="1" applyAlignment="1">
      <alignment horizontal="left" vertical="center" indent="1"/>
    </xf>
    <xf numFmtId="0" fontId="20" fillId="2" borderId="0" xfId="0" applyFont="1" applyFill="1" applyAlignment="1">
      <alignment vertical="center"/>
    </xf>
    <xf numFmtId="9" fontId="1" fillId="2" borderId="0" xfId="2" applyFont="1" applyFill="1" applyBorder="1" applyAlignment="1">
      <alignment horizontal="center" vertical="center"/>
    </xf>
    <xf numFmtId="164" fontId="21"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167" fontId="17" fillId="13" borderId="0" xfId="0" applyNumberFormat="1" applyFont="1" applyFill="1" applyAlignment="1">
      <alignment horizontal="center" vertical="center"/>
    </xf>
    <xf numFmtId="0" fontId="18" fillId="13" borderId="0" xfId="0" applyFont="1" applyFill="1" applyAlignment="1">
      <alignment horizontal="center" vertical="center" shrinkToFit="1"/>
    </xf>
    <xf numFmtId="0" fontId="4" fillId="13" borderId="0" xfId="0" applyFont="1" applyFill="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15" fillId="4" borderId="5" xfId="12" applyFont="1" applyFill="1" applyBorder="1" applyAlignment="1">
      <alignment horizontal="left" vertical="center" wrapText="1" indent="2"/>
    </xf>
    <xf numFmtId="0" fontId="15" fillId="3" borderId="6" xfId="11" applyFont="1" applyFill="1" applyBorder="1" applyAlignment="1">
      <alignment vertical="center" wrapText="1"/>
    </xf>
    <xf numFmtId="0" fontId="15" fillId="3" borderId="7" xfId="11" applyFont="1" applyFill="1" applyBorder="1" applyAlignment="1">
      <alignment vertical="center" wrapText="1"/>
    </xf>
    <xf numFmtId="0" fontId="9" fillId="0" borderId="0" xfId="3" applyAlignment="1">
      <alignment wrapText="1"/>
    </xf>
    <xf numFmtId="0" fontId="16"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6" fillId="11" borderId="16" xfId="0" applyFont="1" applyFill="1" applyBorder="1" applyAlignment="1">
      <alignment vertical="center"/>
    </xf>
    <xf numFmtId="0" fontId="4" fillId="2" borderId="21" xfId="0" applyFont="1" applyFill="1" applyBorder="1"/>
    <xf numFmtId="0" fontId="16" fillId="11" borderId="16" xfId="0" applyFont="1" applyFill="1" applyBorder="1" applyAlignment="1">
      <alignment horizontal="center" vertical="center"/>
    </xf>
    <xf numFmtId="0" fontId="23" fillId="0" borderId="0" xfId="0" applyFont="1" applyAlignment="1">
      <alignment horizontal="left"/>
    </xf>
    <xf numFmtId="0" fontId="24" fillId="0" borderId="0" xfId="0" applyFont="1"/>
    <xf numFmtId="165" fontId="23" fillId="0" borderId="0" xfId="9" applyFont="1" applyBorder="1" applyAlignment="1">
      <alignment horizontal="left"/>
    </xf>
    <xf numFmtId="0" fontId="22" fillId="0" borderId="0" xfId="8" applyFont="1" applyAlignment="1">
      <alignment horizontal="left"/>
    </xf>
    <xf numFmtId="0" fontId="4" fillId="0" borderId="0" xfId="0" applyFont="1"/>
    <xf numFmtId="166" fontId="15" fillId="13" borderId="0" xfId="0" applyNumberFormat="1" applyFont="1" applyFill="1" applyAlignment="1">
      <alignment horizontal="center" vertical="center" wrapText="1"/>
    </xf>
    <xf numFmtId="166" fontId="15" fillId="2" borderId="18" xfId="0" applyNumberFormat="1" applyFont="1" applyFill="1" applyBorder="1" applyAlignment="1">
      <alignment horizontal="center" vertical="center" wrapText="1"/>
    </xf>
    <xf numFmtId="166" fontId="15" fillId="2" borderId="13" xfId="0" applyNumberFormat="1" applyFont="1" applyFill="1" applyBorder="1" applyAlignment="1">
      <alignment horizontal="center" vertical="center" wrapText="1"/>
    </xf>
    <xf numFmtId="166" fontId="15" fillId="2" borderId="19"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1"/>
  <sheetViews>
    <sheetView showGridLines="0" tabSelected="1" showRuler="0" topLeftCell="A9" zoomScale="85" zoomScaleNormal="100" zoomScalePageLayoutView="70" workbookViewId="0">
      <selection activeCell="C14" sqref="C14"/>
    </sheetView>
  </sheetViews>
  <sheetFormatPr defaultColWidth="8.69921875" defaultRowHeight="30" customHeight="1" x14ac:dyDescent="0.25"/>
  <cols>
    <col min="1" max="1" width="2.69921875" style="7" customWidth="1"/>
    <col min="2" max="2" width="25.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8"/>
      <c r="B1" s="90" t="s">
        <v>22</v>
      </c>
      <c r="C1" s="12"/>
      <c r="D1" s="13"/>
      <c r="E1" s="14"/>
      <c r="F1" s="15"/>
      <c r="H1" s="1"/>
      <c r="I1" s="108" t="s">
        <v>0</v>
      </c>
      <c r="J1" s="109"/>
      <c r="K1" s="109"/>
      <c r="L1" s="109"/>
      <c r="M1" s="109"/>
      <c r="N1" s="109"/>
      <c r="O1" s="109"/>
      <c r="P1" s="18"/>
      <c r="Q1" s="107">
        <v>46080</v>
      </c>
      <c r="R1" s="106"/>
      <c r="S1" s="106"/>
      <c r="T1" s="106"/>
      <c r="U1" s="106"/>
      <c r="V1" s="106"/>
      <c r="W1" s="106"/>
      <c r="X1" s="106"/>
      <c r="Y1" s="106"/>
      <c r="Z1" s="106"/>
    </row>
    <row r="2" spans="1:64" ht="30" customHeight="1" x14ac:dyDescent="0.6">
      <c r="B2" s="88" t="s">
        <v>23</v>
      </c>
      <c r="C2" s="89" t="s">
        <v>1</v>
      </c>
      <c r="D2" s="16"/>
      <c r="E2" s="17"/>
      <c r="F2" s="16"/>
      <c r="I2" s="108" t="s">
        <v>2</v>
      </c>
      <c r="J2" s="109"/>
      <c r="K2" s="109"/>
      <c r="L2" s="109"/>
      <c r="M2" s="109"/>
      <c r="N2" s="109"/>
      <c r="O2" s="109"/>
      <c r="P2" s="18"/>
      <c r="Q2" s="105">
        <v>1</v>
      </c>
      <c r="R2" s="106"/>
      <c r="S2" s="106"/>
      <c r="T2" s="106"/>
      <c r="U2" s="106"/>
      <c r="V2" s="106"/>
      <c r="W2" s="106"/>
      <c r="X2" s="106"/>
      <c r="Y2" s="106"/>
      <c r="Z2" s="106"/>
    </row>
    <row r="3" spans="1:64" s="20" customFormat="1" ht="30" customHeight="1" x14ac:dyDescent="0.25">
      <c r="A3" s="7"/>
      <c r="B3" s="19" t="s">
        <v>3</v>
      </c>
      <c r="D3" s="21"/>
      <c r="E3" s="22"/>
    </row>
    <row r="4" spans="1:64" s="20" customFormat="1" ht="30" customHeight="1" x14ac:dyDescent="0.25">
      <c r="A4" s="8"/>
      <c r="B4" s="23" t="s">
        <v>4</v>
      </c>
      <c r="E4" s="24"/>
      <c r="I4" s="111">
        <f>I5</f>
        <v>46080</v>
      </c>
      <c r="J4" s="112"/>
      <c r="K4" s="112"/>
      <c r="L4" s="112"/>
      <c r="M4" s="112"/>
      <c r="N4" s="112"/>
      <c r="O4" s="112"/>
      <c r="P4" s="112">
        <v>46087</v>
      </c>
      <c r="Q4" s="112"/>
      <c r="R4" s="112"/>
      <c r="S4" s="112"/>
      <c r="T4" s="112"/>
      <c r="U4" s="112"/>
      <c r="V4" s="112"/>
      <c r="W4" s="112">
        <v>46108</v>
      </c>
      <c r="X4" s="112"/>
      <c r="Y4" s="112"/>
      <c r="Z4" s="112"/>
      <c r="AA4" s="112"/>
      <c r="AB4" s="112"/>
      <c r="AC4" s="113"/>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row>
    <row r="5" spans="1:64" s="20" customFormat="1" ht="15" customHeight="1" x14ac:dyDescent="0.25">
      <c r="A5" s="99"/>
      <c r="B5" s="100" t="s">
        <v>5</v>
      </c>
      <c r="C5" s="102" t="s">
        <v>6</v>
      </c>
      <c r="D5" s="104" t="s">
        <v>7</v>
      </c>
      <c r="E5" s="104" t="s">
        <v>8</v>
      </c>
      <c r="F5" s="104" t="s">
        <v>9</v>
      </c>
      <c r="I5" s="25">
        <v>46080</v>
      </c>
      <c r="J5" s="25">
        <v>46081</v>
      </c>
      <c r="K5" s="25">
        <f t="shared" ref="K5:AC5" si="0">J5+1</f>
        <v>46082</v>
      </c>
      <c r="L5" s="25">
        <f t="shared" si="0"/>
        <v>46083</v>
      </c>
      <c r="M5" s="25">
        <f t="shared" si="0"/>
        <v>46084</v>
      </c>
      <c r="N5" s="25">
        <f t="shared" si="0"/>
        <v>46085</v>
      </c>
      <c r="O5" s="26">
        <f t="shared" si="0"/>
        <v>46086</v>
      </c>
      <c r="P5" s="27">
        <f>O5+1</f>
        <v>46087</v>
      </c>
      <c r="Q5" s="25">
        <f>P5+1</f>
        <v>46088</v>
      </c>
      <c r="R5" s="25">
        <f t="shared" si="0"/>
        <v>46089</v>
      </c>
      <c r="S5" s="25">
        <f t="shared" si="0"/>
        <v>46090</v>
      </c>
      <c r="T5" s="25">
        <f t="shared" si="0"/>
        <v>46091</v>
      </c>
      <c r="U5" s="25">
        <f t="shared" si="0"/>
        <v>46092</v>
      </c>
      <c r="V5" s="26">
        <f t="shared" si="0"/>
        <v>46093</v>
      </c>
      <c r="W5" s="27">
        <f>V5+1</f>
        <v>46094</v>
      </c>
      <c r="X5" s="25">
        <f>W5+1</f>
        <v>46095</v>
      </c>
      <c r="Y5" s="25">
        <f t="shared" si="0"/>
        <v>46096</v>
      </c>
      <c r="Z5" s="25">
        <f t="shared" si="0"/>
        <v>46097</v>
      </c>
      <c r="AA5" s="25">
        <f t="shared" si="0"/>
        <v>46098</v>
      </c>
      <c r="AB5" s="25">
        <f t="shared" si="0"/>
        <v>46099</v>
      </c>
      <c r="AC5" s="25">
        <f t="shared" si="0"/>
        <v>46100</v>
      </c>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row>
    <row r="6" spans="1:64" s="20" customFormat="1" ht="15" customHeight="1" thickBot="1" x14ac:dyDescent="0.3">
      <c r="A6" s="99"/>
      <c r="B6" s="101"/>
      <c r="C6" s="103"/>
      <c r="D6" s="103"/>
      <c r="E6" s="103"/>
      <c r="F6" s="103"/>
      <c r="I6" s="28" t="str">
        <f t="shared" ref="I6:AC6" si="1">LEFT(TEXT(I5,"ddd"),1)</f>
        <v>F</v>
      </c>
      <c r="J6" s="29" t="str">
        <f t="shared" si="1"/>
        <v>S</v>
      </c>
      <c r="K6" s="29" t="str">
        <f t="shared" si="1"/>
        <v>S</v>
      </c>
      <c r="L6" s="29" t="str">
        <f t="shared" si="1"/>
        <v>M</v>
      </c>
      <c r="M6" s="29" t="str">
        <f t="shared" si="1"/>
        <v>T</v>
      </c>
      <c r="N6" s="29" t="str">
        <f t="shared" si="1"/>
        <v>W</v>
      </c>
      <c r="O6" s="29" t="str">
        <f t="shared" si="1"/>
        <v>T</v>
      </c>
      <c r="P6" s="29" t="str">
        <f t="shared" si="1"/>
        <v>F</v>
      </c>
      <c r="Q6" s="29" t="str">
        <f t="shared" si="1"/>
        <v>S</v>
      </c>
      <c r="R6" s="29" t="str">
        <f t="shared" si="1"/>
        <v>S</v>
      </c>
      <c r="S6" s="29" t="str">
        <f t="shared" si="1"/>
        <v>M</v>
      </c>
      <c r="T6" s="29" t="str">
        <f t="shared" si="1"/>
        <v>T</v>
      </c>
      <c r="U6" s="29" t="str">
        <f t="shared" si="1"/>
        <v>W</v>
      </c>
      <c r="V6" s="29" t="str">
        <f t="shared" si="1"/>
        <v>T</v>
      </c>
      <c r="W6" s="29" t="str">
        <f t="shared" si="1"/>
        <v>F</v>
      </c>
      <c r="X6" s="29" t="str">
        <f t="shared" si="1"/>
        <v>S</v>
      </c>
      <c r="Y6" s="29" t="str">
        <f t="shared" si="1"/>
        <v>S</v>
      </c>
      <c r="Z6" s="29" t="str">
        <f t="shared" si="1"/>
        <v>M</v>
      </c>
      <c r="AA6" s="29" t="str">
        <f t="shared" si="1"/>
        <v>T</v>
      </c>
      <c r="AB6" s="29" t="str">
        <f t="shared" si="1"/>
        <v>W</v>
      </c>
      <c r="AC6" s="30" t="str">
        <f t="shared" si="1"/>
        <v>T</v>
      </c>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2"/>
      <c r="BL6" s="92"/>
    </row>
    <row r="7" spans="1:64" s="20" customFormat="1" ht="30" hidden="1" customHeight="1" thickBot="1" x14ac:dyDescent="0.3">
      <c r="A7" s="7" t="s">
        <v>10</v>
      </c>
      <c r="B7" s="31"/>
      <c r="C7" s="32"/>
      <c r="D7" s="31"/>
      <c r="E7" s="31"/>
      <c r="F7" s="31"/>
      <c r="H7" s="20" t="str">
        <f>IF(OR(ISBLANK(task_start),ISBLANK(task_end)),"",task_end-task_start+1)</f>
        <v/>
      </c>
      <c r="I7" s="33"/>
      <c r="J7" s="33"/>
      <c r="K7" s="33"/>
      <c r="L7" s="33"/>
      <c r="M7" s="33"/>
      <c r="N7" s="33"/>
      <c r="O7" s="33"/>
      <c r="P7" s="33"/>
      <c r="Q7" s="33"/>
      <c r="R7" s="33"/>
      <c r="S7" s="33"/>
      <c r="T7" s="33"/>
      <c r="U7" s="33"/>
      <c r="V7" s="33"/>
      <c r="W7" s="33"/>
      <c r="X7" s="33"/>
      <c r="Y7" s="33"/>
      <c r="Z7" s="33"/>
      <c r="AA7" s="33"/>
      <c r="AB7" s="33"/>
      <c r="AC7" s="94"/>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row>
    <row r="8" spans="1:64" s="40" customFormat="1" ht="30" customHeight="1" thickBot="1" x14ac:dyDescent="0.3">
      <c r="A8" s="8"/>
      <c r="B8" s="34" t="s">
        <v>11</v>
      </c>
      <c r="C8" s="35"/>
      <c r="D8" s="36"/>
      <c r="E8" s="37"/>
      <c r="F8" s="38"/>
      <c r="G8" s="11"/>
      <c r="H8" s="5" t="str">
        <f t="shared" ref="H8:H28" si="2">IF(OR(ISBLANK(task_start),ISBLANK(task_end)),"",task_end-task_start+1)</f>
        <v/>
      </c>
      <c r="I8" s="39"/>
      <c r="J8" s="39"/>
      <c r="K8" s="39"/>
      <c r="L8" s="39"/>
      <c r="M8" s="39"/>
      <c r="N8" s="39"/>
      <c r="O8" s="39"/>
      <c r="P8" s="39"/>
      <c r="Q8" s="39"/>
      <c r="R8" s="39"/>
      <c r="S8" s="39"/>
      <c r="T8" s="39"/>
      <c r="U8" s="39"/>
      <c r="V8" s="39"/>
      <c r="W8" s="39"/>
      <c r="X8" s="39"/>
      <c r="Y8" s="39"/>
      <c r="Z8" s="39"/>
      <c r="AA8" s="39"/>
      <c r="AB8" s="39"/>
      <c r="AC8" s="39"/>
      <c r="AD8" s="93"/>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E8" s="93"/>
      <c r="BF8" s="93"/>
      <c r="BG8" s="93"/>
      <c r="BH8" s="93"/>
      <c r="BI8" s="93"/>
      <c r="BJ8" s="93"/>
      <c r="BK8" s="93"/>
      <c r="BL8" s="93"/>
    </row>
    <row r="9" spans="1:64" s="40" customFormat="1" ht="49.2" customHeight="1" thickBot="1" x14ac:dyDescent="0.3">
      <c r="A9" s="8"/>
      <c r="B9" s="41" t="s">
        <v>20</v>
      </c>
      <c r="C9" s="97" t="s">
        <v>24</v>
      </c>
      <c r="D9" s="42">
        <v>0.5</v>
      </c>
      <c r="E9" s="43">
        <v>46080</v>
      </c>
      <c r="F9" s="43">
        <f>E9+3</f>
        <v>46083</v>
      </c>
      <c r="G9" s="11"/>
      <c r="H9" s="5">
        <f t="shared" si="2"/>
        <v>4</v>
      </c>
      <c r="I9" s="44"/>
      <c r="J9" s="44"/>
      <c r="K9" s="44"/>
      <c r="L9" s="44"/>
      <c r="M9" s="44"/>
      <c r="N9" s="44"/>
      <c r="O9" s="44"/>
      <c r="P9" s="44"/>
      <c r="Q9" s="44"/>
      <c r="R9" s="44"/>
      <c r="S9" s="44"/>
      <c r="T9" s="44"/>
      <c r="U9" s="44"/>
      <c r="V9" s="44"/>
      <c r="W9" s="44"/>
      <c r="X9" s="44"/>
      <c r="Y9" s="44"/>
      <c r="Z9" s="44"/>
      <c r="AA9" s="44"/>
      <c r="AB9" s="44"/>
      <c r="AC9" s="95"/>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c r="BL9" s="93"/>
    </row>
    <row r="10" spans="1:64" s="40" customFormat="1" ht="42" customHeight="1" thickBot="1" x14ac:dyDescent="0.3">
      <c r="A10" s="8"/>
      <c r="B10" s="45" t="s">
        <v>21</v>
      </c>
      <c r="C10" s="98" t="s">
        <v>36</v>
      </c>
      <c r="D10" s="47">
        <v>1</v>
      </c>
      <c r="E10" s="48">
        <f>F9 +20</f>
        <v>46103</v>
      </c>
      <c r="F10" s="48">
        <f>E10+2</f>
        <v>46105</v>
      </c>
      <c r="G10" s="11"/>
      <c r="H10" s="5">
        <f t="shared" si="2"/>
        <v>3</v>
      </c>
      <c r="I10" s="44"/>
      <c r="J10" s="44"/>
      <c r="K10" s="44"/>
      <c r="L10" s="44"/>
      <c r="M10" s="44"/>
      <c r="N10" s="44"/>
      <c r="O10" s="44"/>
      <c r="P10" s="44"/>
      <c r="Q10" s="44"/>
      <c r="R10" s="44"/>
      <c r="S10" s="44"/>
      <c r="T10" s="44"/>
      <c r="U10" s="49"/>
      <c r="V10" s="49"/>
      <c r="W10" s="44"/>
      <c r="X10" s="44"/>
      <c r="Y10" s="44"/>
      <c r="Z10" s="44"/>
      <c r="AA10" s="44"/>
      <c r="AB10" s="44"/>
      <c r="AC10" s="95"/>
      <c r="AD10" s="93"/>
      <c r="AE10" s="93"/>
      <c r="AF10" s="93"/>
      <c r="AG10" s="93"/>
      <c r="AH10" s="93"/>
      <c r="AI10" s="93"/>
      <c r="AJ10" s="93"/>
      <c r="AK10" s="93"/>
      <c r="AL10" s="93"/>
      <c r="AM10" s="93"/>
      <c r="AN10" s="93"/>
      <c r="AO10" s="93"/>
      <c r="AP10" s="93"/>
      <c r="AQ10" s="93"/>
      <c r="AR10" s="93"/>
      <c r="AS10" s="93"/>
      <c r="AT10" s="93"/>
      <c r="AU10" s="93"/>
      <c r="AV10" s="93"/>
      <c r="AW10" s="93"/>
      <c r="AX10" s="93"/>
      <c r="AY10" s="93"/>
      <c r="AZ10" s="93"/>
      <c r="BA10" s="93"/>
      <c r="BB10" s="93"/>
      <c r="BC10" s="93"/>
      <c r="BD10" s="93"/>
      <c r="BE10" s="93"/>
      <c r="BF10" s="93"/>
      <c r="BG10" s="93"/>
      <c r="BH10" s="93"/>
      <c r="BI10" s="93"/>
      <c r="BJ10" s="93"/>
      <c r="BK10" s="93"/>
      <c r="BL10" s="93"/>
    </row>
    <row r="11" spans="1:64" s="40" customFormat="1" ht="30" customHeight="1" thickBot="1" x14ac:dyDescent="0.3">
      <c r="A11" s="7"/>
      <c r="B11" s="45" t="s">
        <v>32</v>
      </c>
      <c r="C11" s="46" t="s">
        <v>33</v>
      </c>
      <c r="D11" s="47"/>
      <c r="E11" s="48">
        <f>F10</f>
        <v>46105</v>
      </c>
      <c r="F11" s="48">
        <f>E11+4</f>
        <v>46109</v>
      </c>
      <c r="G11" s="11"/>
      <c r="H11" s="5">
        <f t="shared" si="2"/>
        <v>5</v>
      </c>
      <c r="I11" s="44"/>
      <c r="J11" s="44"/>
      <c r="K11" s="44"/>
      <c r="L11" s="44"/>
      <c r="M11" s="44"/>
      <c r="N11" s="44"/>
      <c r="O11" s="44"/>
      <c r="P11" s="44"/>
      <c r="Q11" s="44"/>
      <c r="R11" s="44"/>
      <c r="S11" s="44"/>
      <c r="T11" s="44"/>
      <c r="U11" s="44"/>
      <c r="V11" s="44"/>
      <c r="W11" s="44"/>
      <c r="X11" s="44"/>
      <c r="Y11" s="44"/>
      <c r="Z11" s="44"/>
      <c r="AA11" s="44"/>
      <c r="AB11" s="44"/>
      <c r="AC11" s="95"/>
      <c r="AD11" s="93"/>
      <c r="AE11" s="93"/>
      <c r="AF11" s="93"/>
      <c r="AG11" s="93"/>
      <c r="AH11" s="93"/>
      <c r="AI11" s="93"/>
      <c r="AJ11" s="93"/>
      <c r="AK11" s="93"/>
      <c r="AL11" s="93"/>
      <c r="AM11" s="93"/>
      <c r="AN11" s="93"/>
      <c r="AO11" s="93"/>
      <c r="AP11" s="93"/>
      <c r="AQ11" s="93"/>
      <c r="AR11" s="93"/>
      <c r="AS11" s="93"/>
      <c r="AT11" s="93"/>
      <c r="AU11" s="93"/>
      <c r="AV11" s="93"/>
      <c r="AW11" s="93"/>
      <c r="AX11" s="93"/>
      <c r="AY11" s="93"/>
      <c r="AZ11" s="93"/>
      <c r="BA11" s="93"/>
      <c r="BB11" s="93"/>
      <c r="BC11" s="93"/>
      <c r="BD11" s="93"/>
      <c r="BE11" s="93"/>
      <c r="BF11" s="93"/>
      <c r="BG11" s="93"/>
      <c r="BH11" s="93"/>
      <c r="BI11" s="93"/>
      <c r="BJ11" s="93"/>
      <c r="BK11" s="93"/>
      <c r="BL11" s="93"/>
    </row>
    <row r="12" spans="1:64" s="40" customFormat="1" ht="30" customHeight="1" thickBot="1" x14ac:dyDescent="0.3">
      <c r="A12" s="8"/>
      <c r="B12" s="50" t="s">
        <v>13</v>
      </c>
      <c r="C12" s="51"/>
      <c r="D12" s="52"/>
      <c r="E12" s="53"/>
      <c r="F12" s="54"/>
      <c r="G12" s="11"/>
      <c r="H12" s="5" t="str">
        <f t="shared" si="2"/>
        <v/>
      </c>
      <c r="AD12" s="9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c r="BE12" s="93"/>
      <c r="BF12" s="93"/>
      <c r="BG12" s="93"/>
      <c r="BH12" s="93"/>
      <c r="BI12" s="93"/>
      <c r="BJ12" s="93"/>
      <c r="BK12" s="93"/>
      <c r="BL12" s="93"/>
    </row>
    <row r="13" spans="1:64" s="40" customFormat="1" ht="48.6" customHeight="1" x14ac:dyDescent="0.25">
      <c r="A13" s="8"/>
      <c r="B13" s="96" t="s">
        <v>18</v>
      </c>
      <c r="C13" s="55" t="s">
        <v>28</v>
      </c>
      <c r="D13" s="56">
        <v>1</v>
      </c>
      <c r="E13" s="57">
        <v>46080</v>
      </c>
      <c r="F13" s="57">
        <f>E13+4</f>
        <v>46084</v>
      </c>
      <c r="G13" s="11"/>
      <c r="H13" s="5">
        <f t="shared" si="2"/>
        <v>5</v>
      </c>
      <c r="I13" s="44"/>
      <c r="J13" s="44"/>
      <c r="K13" s="44"/>
      <c r="L13" s="44"/>
      <c r="M13" s="44"/>
      <c r="N13" s="44"/>
      <c r="O13" s="44"/>
      <c r="P13" s="44"/>
      <c r="Q13" s="44"/>
      <c r="R13" s="44"/>
      <c r="S13" s="44"/>
      <c r="T13" s="44"/>
      <c r="U13" s="44"/>
      <c r="V13" s="44"/>
      <c r="W13" s="44"/>
      <c r="X13" s="44"/>
      <c r="Y13" s="44"/>
      <c r="Z13" s="44"/>
      <c r="AA13" s="44"/>
      <c r="AB13" s="44"/>
      <c r="AC13" s="95"/>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3"/>
      <c r="BG13" s="93"/>
      <c r="BH13" s="93"/>
      <c r="BI13" s="93"/>
      <c r="BJ13" s="93"/>
      <c r="BK13" s="93"/>
      <c r="BL13" s="93"/>
    </row>
    <row r="14" spans="1:64" s="40" customFormat="1" ht="30" customHeight="1" x14ac:dyDescent="0.25">
      <c r="A14" s="7"/>
      <c r="B14" s="96" t="s">
        <v>29</v>
      </c>
      <c r="C14" s="55" t="s">
        <v>37</v>
      </c>
      <c r="D14" s="56">
        <v>1</v>
      </c>
      <c r="E14" s="57">
        <f>E13+10</f>
        <v>46090</v>
      </c>
      <c r="F14" s="57">
        <f>E14+5</f>
        <v>46095</v>
      </c>
      <c r="G14" s="11"/>
      <c r="H14" s="5">
        <f t="shared" si="2"/>
        <v>6</v>
      </c>
      <c r="I14" s="44"/>
      <c r="J14" s="44"/>
      <c r="K14" s="44"/>
      <c r="L14" s="44"/>
      <c r="M14" s="44"/>
      <c r="N14" s="44"/>
      <c r="O14" s="44"/>
      <c r="P14" s="44"/>
      <c r="Q14" s="44"/>
      <c r="R14" s="44"/>
      <c r="S14" s="44"/>
      <c r="T14" s="44"/>
      <c r="U14" s="49"/>
      <c r="V14" s="49"/>
      <c r="W14" s="44"/>
      <c r="X14" s="44"/>
      <c r="Y14" s="44"/>
      <c r="Z14" s="44"/>
      <c r="AA14" s="44"/>
      <c r="AB14" s="44"/>
      <c r="AC14" s="95"/>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3"/>
      <c r="BG14" s="93"/>
      <c r="BH14" s="93"/>
      <c r="BI14" s="93"/>
      <c r="BJ14" s="93"/>
      <c r="BK14" s="93"/>
      <c r="BL14" s="93"/>
    </row>
    <row r="15" spans="1:64" s="40" customFormat="1" ht="36.75" customHeight="1" x14ac:dyDescent="0.25">
      <c r="A15" s="7"/>
      <c r="B15" s="96" t="s">
        <v>19</v>
      </c>
      <c r="C15" s="55" t="s">
        <v>12</v>
      </c>
      <c r="D15" s="56">
        <v>1</v>
      </c>
      <c r="E15" s="57">
        <f>F14</f>
        <v>46095</v>
      </c>
      <c r="F15" s="57">
        <f>E15+3</f>
        <v>46098</v>
      </c>
      <c r="G15" s="11"/>
      <c r="H15" s="5">
        <f t="shared" si="2"/>
        <v>4</v>
      </c>
      <c r="I15" s="44"/>
      <c r="J15" s="44"/>
      <c r="K15" s="44"/>
      <c r="L15" s="44"/>
      <c r="M15" s="44"/>
      <c r="N15" s="44"/>
      <c r="O15" s="44"/>
      <c r="P15" s="44"/>
      <c r="Q15" s="44"/>
      <c r="R15" s="44"/>
      <c r="S15" s="44"/>
      <c r="T15" s="44"/>
      <c r="U15" s="44"/>
      <c r="V15" s="44"/>
      <c r="W15" s="44"/>
      <c r="X15" s="44"/>
      <c r="Y15" s="44"/>
      <c r="Z15" s="44"/>
      <c r="AA15" s="44"/>
      <c r="AB15" s="44"/>
      <c r="AC15" s="95"/>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3"/>
      <c r="BJ15" s="93"/>
      <c r="BK15" s="93"/>
      <c r="BL15" s="93"/>
    </row>
    <row r="16" spans="1:64" s="40" customFormat="1" ht="42" customHeight="1" x14ac:dyDescent="0.25">
      <c r="A16" s="7"/>
      <c r="B16" s="96"/>
      <c r="C16" s="55"/>
      <c r="D16" s="56"/>
      <c r="E16" s="57">
        <f>E15</f>
        <v>46095</v>
      </c>
      <c r="F16" s="57">
        <f>E16+2</f>
        <v>46097</v>
      </c>
      <c r="G16" s="11"/>
      <c r="H16" s="5">
        <f t="shared" si="2"/>
        <v>3</v>
      </c>
      <c r="I16" s="44"/>
      <c r="J16" s="44"/>
      <c r="K16" s="44"/>
      <c r="L16" s="44"/>
      <c r="M16" s="44"/>
      <c r="N16" s="44"/>
      <c r="O16" s="44"/>
      <c r="P16" s="44"/>
      <c r="Q16" s="44"/>
      <c r="R16" s="44"/>
      <c r="S16" s="44"/>
      <c r="T16" s="44"/>
      <c r="U16" s="44"/>
      <c r="V16" s="44"/>
      <c r="W16" s="44"/>
      <c r="X16" s="44"/>
      <c r="Y16" s="49"/>
      <c r="Z16" s="44"/>
      <c r="AA16" s="44"/>
      <c r="AB16" s="44"/>
      <c r="AC16" s="95"/>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c r="BD16" s="93"/>
      <c r="BE16" s="93"/>
      <c r="BF16" s="93"/>
      <c r="BG16" s="93"/>
      <c r="BH16" s="93"/>
      <c r="BI16" s="93"/>
      <c r="BJ16" s="93"/>
      <c r="BK16" s="93"/>
      <c r="BL16" s="93"/>
    </row>
    <row r="17" spans="1:64" s="40" customFormat="1" ht="30" customHeight="1" thickBot="1" x14ac:dyDescent="0.3">
      <c r="A17" s="7"/>
      <c r="B17" s="58" t="s">
        <v>14</v>
      </c>
      <c r="C17" s="59"/>
      <c r="D17" s="60"/>
      <c r="E17" s="61"/>
      <c r="F17" s="62"/>
      <c r="G17" s="11"/>
      <c r="H17" s="5" t="str">
        <f t="shared" si="2"/>
        <v/>
      </c>
      <c r="I17" s="63"/>
      <c r="J17" s="63"/>
      <c r="K17" s="63"/>
      <c r="L17" s="63"/>
      <c r="M17" s="63"/>
      <c r="N17" s="63"/>
      <c r="O17" s="63"/>
      <c r="P17" s="63"/>
      <c r="Q17" s="63"/>
      <c r="R17" s="63"/>
      <c r="S17" s="63"/>
      <c r="T17" s="63"/>
      <c r="U17" s="63"/>
      <c r="V17" s="63"/>
      <c r="W17" s="63"/>
      <c r="X17" s="63"/>
      <c r="Y17" s="63"/>
      <c r="Z17" s="63"/>
      <c r="AA17" s="63"/>
      <c r="AB17" s="63"/>
      <c r="AC17" s="6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3"/>
      <c r="BJ17" s="93"/>
      <c r="BK17" s="93"/>
      <c r="BL17" s="93"/>
    </row>
    <row r="18" spans="1:64" s="40" customFormat="1" ht="30" customHeight="1" thickBot="1" x14ac:dyDescent="0.3">
      <c r="A18" s="7"/>
      <c r="B18" s="64" t="s">
        <v>15</v>
      </c>
      <c r="C18" s="65" t="s">
        <v>28</v>
      </c>
      <c r="D18" s="66">
        <v>1</v>
      </c>
      <c r="E18" s="67">
        <v>46103</v>
      </c>
      <c r="F18" s="67">
        <f>E18+5</f>
        <v>46108</v>
      </c>
      <c r="G18" s="11"/>
      <c r="H18" s="5">
        <f t="shared" si="2"/>
        <v>6</v>
      </c>
      <c r="I18" s="44"/>
      <c r="J18" s="44"/>
      <c r="K18" s="44"/>
      <c r="L18" s="44"/>
      <c r="M18" s="44"/>
      <c r="N18" s="44"/>
      <c r="O18" s="44"/>
      <c r="P18" s="44"/>
      <c r="Q18" s="44"/>
      <c r="R18" s="44"/>
      <c r="S18" s="44"/>
      <c r="T18" s="44"/>
      <c r="U18" s="44"/>
      <c r="V18" s="44"/>
      <c r="W18" s="44"/>
      <c r="X18" s="44"/>
      <c r="Y18" s="44"/>
      <c r="Z18" s="44"/>
      <c r="AA18" s="44"/>
      <c r="AB18" s="44"/>
      <c r="AC18" s="95"/>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93"/>
      <c r="BG18" s="93"/>
      <c r="BH18" s="93"/>
      <c r="BI18" s="93"/>
      <c r="BJ18" s="93"/>
      <c r="BK18" s="93"/>
      <c r="BL18" s="93"/>
    </row>
    <row r="19" spans="1:64" s="40" customFormat="1" ht="30" customHeight="1" thickBot="1" x14ac:dyDescent="0.3">
      <c r="A19" s="7"/>
      <c r="B19" s="64" t="s">
        <v>25</v>
      </c>
      <c r="C19" s="65" t="s">
        <v>34</v>
      </c>
      <c r="D19" s="66">
        <v>0.8</v>
      </c>
      <c r="E19" s="67">
        <f>F18+1</f>
        <v>46109</v>
      </c>
      <c r="F19" s="67">
        <f>E19+4</f>
        <v>46113</v>
      </c>
      <c r="G19" s="11"/>
      <c r="H19" s="5">
        <f t="shared" si="2"/>
        <v>5</v>
      </c>
      <c r="I19" s="44"/>
      <c r="J19" s="44"/>
      <c r="K19" s="44"/>
      <c r="L19" s="44"/>
      <c r="M19" s="44"/>
      <c r="N19" s="44"/>
      <c r="O19" s="44"/>
      <c r="P19" s="44"/>
      <c r="Q19" s="44"/>
      <c r="R19" s="44"/>
      <c r="S19" s="44"/>
      <c r="T19" s="44"/>
      <c r="U19" s="44"/>
      <c r="V19" s="44"/>
      <c r="W19" s="44"/>
      <c r="X19" s="44"/>
      <c r="Y19" s="44"/>
      <c r="Z19" s="44"/>
      <c r="AA19" s="44"/>
      <c r="AB19" s="44"/>
      <c r="AC19" s="95"/>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3"/>
      <c r="BG19" s="93"/>
      <c r="BH19" s="93"/>
      <c r="BI19" s="93"/>
      <c r="BJ19" s="93"/>
      <c r="BK19" s="93"/>
      <c r="BL19" s="93"/>
    </row>
    <row r="20" spans="1:64" s="40" customFormat="1" ht="30" customHeight="1" thickBot="1" x14ac:dyDescent="0.3">
      <c r="A20" s="7"/>
      <c r="B20" s="64" t="s">
        <v>26</v>
      </c>
      <c r="C20" s="65" t="s">
        <v>34</v>
      </c>
      <c r="D20" s="66">
        <v>0.8</v>
      </c>
      <c r="E20" s="67">
        <v>46091</v>
      </c>
      <c r="F20" s="67">
        <f>E20+5</f>
        <v>46096</v>
      </c>
      <c r="G20" s="11"/>
      <c r="H20" s="5">
        <f t="shared" si="2"/>
        <v>6</v>
      </c>
      <c r="I20" s="44"/>
      <c r="J20" s="44"/>
      <c r="K20" s="44"/>
      <c r="L20" s="44"/>
      <c r="M20" s="44"/>
      <c r="N20" s="44"/>
      <c r="O20" s="44"/>
      <c r="P20" s="44"/>
      <c r="Q20" s="44"/>
      <c r="R20" s="44"/>
      <c r="S20" s="44"/>
      <c r="T20" s="44"/>
      <c r="U20" s="44"/>
      <c r="V20" s="44"/>
      <c r="W20" s="44"/>
      <c r="X20" s="44"/>
      <c r="Y20" s="44"/>
      <c r="Z20" s="44"/>
      <c r="AA20" s="44"/>
      <c r="AB20" s="44"/>
      <c r="AC20" s="95"/>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3"/>
      <c r="BF20" s="93"/>
      <c r="BG20" s="93"/>
      <c r="BH20" s="93"/>
      <c r="BI20" s="93"/>
      <c r="BJ20" s="93"/>
      <c r="BK20" s="93"/>
      <c r="BL20" s="93"/>
    </row>
    <row r="21" spans="1:64" s="40" customFormat="1" ht="30" customHeight="1" thickBot="1" x14ac:dyDescent="0.3">
      <c r="A21" s="7"/>
      <c r="B21" s="64" t="s">
        <v>27</v>
      </c>
      <c r="C21" s="65" t="s">
        <v>35</v>
      </c>
      <c r="D21" s="66">
        <v>0.1</v>
      </c>
      <c r="E21" s="67">
        <v>46073</v>
      </c>
      <c r="F21" s="67">
        <f>E21+4</f>
        <v>46077</v>
      </c>
      <c r="G21" s="11"/>
      <c r="H21" s="5">
        <f t="shared" si="2"/>
        <v>5</v>
      </c>
      <c r="I21" s="44"/>
      <c r="J21" s="44"/>
      <c r="K21" s="44"/>
      <c r="L21" s="44"/>
      <c r="M21" s="44"/>
      <c r="N21" s="44"/>
      <c r="O21" s="44"/>
      <c r="P21" s="44"/>
      <c r="Q21" s="44"/>
      <c r="R21" s="44"/>
      <c r="S21" s="44"/>
      <c r="T21" s="44"/>
      <c r="U21" s="44"/>
      <c r="V21" s="44"/>
      <c r="W21" s="44"/>
      <c r="X21" s="44"/>
      <c r="Y21" s="44"/>
      <c r="Z21" s="44"/>
      <c r="AA21" s="44"/>
      <c r="AB21" s="44"/>
      <c r="AC21" s="95"/>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c r="BL21" s="93"/>
    </row>
    <row r="22" spans="1:64" s="40" customFormat="1" ht="30" customHeight="1" thickBot="1" x14ac:dyDescent="0.3">
      <c r="A22" s="7"/>
      <c r="B22" s="68" t="s">
        <v>31</v>
      </c>
      <c r="C22" s="69"/>
      <c r="D22" s="70"/>
      <c r="E22" s="71"/>
      <c r="F22" s="72"/>
      <c r="G22" s="11"/>
      <c r="H22" s="5" t="str">
        <f t="shared" si="2"/>
        <v/>
      </c>
      <c r="I22" s="73"/>
      <c r="J22" s="73"/>
      <c r="K22" s="73"/>
      <c r="L22" s="73"/>
      <c r="M22" s="73"/>
      <c r="N22" s="73"/>
      <c r="O22" s="73"/>
      <c r="P22" s="73"/>
      <c r="Q22" s="73"/>
      <c r="R22" s="73"/>
      <c r="S22" s="73"/>
      <c r="T22" s="73"/>
      <c r="U22" s="73"/>
      <c r="V22" s="73"/>
      <c r="W22" s="73"/>
      <c r="X22" s="73"/>
      <c r="Y22" s="73"/>
      <c r="Z22" s="73"/>
      <c r="AA22" s="73"/>
      <c r="AB22" s="73"/>
      <c r="AC22" s="7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row>
    <row r="23" spans="1:64" s="40" customFormat="1" ht="30" customHeight="1" x14ac:dyDescent="0.25">
      <c r="A23" s="7"/>
      <c r="B23" s="74" t="s">
        <v>16</v>
      </c>
      <c r="C23" s="75" t="s">
        <v>28</v>
      </c>
      <c r="D23" s="76">
        <v>0.2</v>
      </c>
      <c r="E23" s="77">
        <v>46108</v>
      </c>
      <c r="F23" s="77">
        <v>46081</v>
      </c>
      <c r="G23" s="11"/>
      <c r="H23" s="5">
        <f t="shared" si="2"/>
        <v>-26</v>
      </c>
      <c r="I23" s="44"/>
      <c r="J23" s="44"/>
      <c r="K23" s="44"/>
      <c r="L23" s="44"/>
      <c r="M23" s="44"/>
      <c r="N23" s="44"/>
      <c r="O23" s="44"/>
      <c r="P23" s="44"/>
      <c r="Q23" s="44"/>
      <c r="R23" s="44"/>
      <c r="S23" s="44"/>
      <c r="T23" s="44"/>
      <c r="U23" s="44"/>
      <c r="V23" s="44"/>
      <c r="W23" s="44"/>
      <c r="X23" s="44"/>
      <c r="Y23" s="44"/>
      <c r="Z23" s="44"/>
      <c r="AA23" s="44"/>
      <c r="AB23" s="44"/>
      <c r="AC23" s="95"/>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c r="BL23" s="93"/>
    </row>
    <row r="24" spans="1:64" s="40" customFormat="1" ht="30" customHeight="1" thickBot="1" x14ac:dyDescent="0.3">
      <c r="A24" s="7"/>
      <c r="B24" s="74" t="s">
        <v>30</v>
      </c>
      <c r="C24" s="75" t="s">
        <v>28</v>
      </c>
      <c r="D24" s="76">
        <v>1</v>
      </c>
      <c r="E24" s="77">
        <f t="shared" ref="E24" si="3">$L$5</f>
        <v>46083</v>
      </c>
      <c r="F24" s="77">
        <f>$X$5</f>
        <v>46095</v>
      </c>
      <c r="G24" s="11"/>
      <c r="H24" s="5">
        <f t="shared" si="2"/>
        <v>13</v>
      </c>
      <c r="I24" s="44"/>
      <c r="J24" s="44"/>
      <c r="K24" s="44"/>
      <c r="L24" s="44"/>
      <c r="M24" s="44"/>
      <c r="N24" s="44"/>
      <c r="O24" s="44"/>
      <c r="P24" s="44"/>
      <c r="Q24" s="44"/>
      <c r="R24" s="44"/>
      <c r="S24" s="44"/>
      <c r="T24" s="44"/>
      <c r="U24" s="44"/>
      <c r="V24" s="44"/>
      <c r="W24" s="44"/>
      <c r="X24" s="44"/>
      <c r="Y24" s="44"/>
      <c r="Z24" s="44"/>
      <c r="AA24" s="44"/>
      <c r="AB24" s="44"/>
      <c r="AC24" s="95"/>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3"/>
      <c r="BK24" s="93"/>
      <c r="BL24" s="93"/>
    </row>
    <row r="25" spans="1:64" s="40" customFormat="1" ht="30" customHeight="1" thickBot="1" x14ac:dyDescent="0.3">
      <c r="A25" s="7"/>
      <c r="B25" s="74"/>
      <c r="C25" s="75"/>
      <c r="D25" s="76"/>
      <c r="E25" s="77"/>
      <c r="F25" s="77"/>
      <c r="G25" s="11"/>
      <c r="H25" s="5" t="str">
        <f t="shared" si="2"/>
        <v/>
      </c>
      <c r="I25" s="44"/>
      <c r="J25" s="44"/>
      <c r="K25" s="44"/>
      <c r="L25" s="44"/>
      <c r="M25" s="44"/>
      <c r="N25" s="44"/>
      <c r="O25" s="44"/>
      <c r="P25" s="44"/>
      <c r="Q25" s="44"/>
      <c r="R25" s="44"/>
      <c r="S25" s="44"/>
      <c r="T25" s="44"/>
      <c r="U25" s="44"/>
      <c r="V25" s="44"/>
      <c r="W25" s="44"/>
      <c r="X25" s="44"/>
      <c r="Y25" s="44"/>
      <c r="Z25" s="44"/>
      <c r="AA25" s="44"/>
      <c r="AB25" s="44"/>
      <c r="AC25" s="95"/>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c r="BI25" s="93"/>
      <c r="BJ25" s="93"/>
      <c r="BK25" s="93"/>
      <c r="BL25" s="93"/>
    </row>
    <row r="26" spans="1:64" s="40" customFormat="1" ht="30" customHeight="1" thickBot="1" x14ac:dyDescent="0.3">
      <c r="A26" s="7"/>
      <c r="B26" s="74"/>
      <c r="C26" s="75"/>
      <c r="D26" s="76"/>
      <c r="E26" s="77"/>
      <c r="F26" s="77"/>
      <c r="G26" s="11"/>
      <c r="H26" s="5" t="str">
        <f t="shared" si="2"/>
        <v/>
      </c>
      <c r="I26" s="44"/>
      <c r="J26" s="44"/>
      <c r="K26" s="44"/>
      <c r="L26" s="44"/>
      <c r="M26" s="44"/>
      <c r="N26" s="44"/>
      <c r="O26" s="44"/>
      <c r="P26" s="44"/>
      <c r="Q26" s="44"/>
      <c r="R26" s="44"/>
      <c r="S26" s="44"/>
      <c r="T26" s="44"/>
      <c r="U26" s="44"/>
      <c r="V26" s="44"/>
      <c r="W26" s="44"/>
      <c r="X26" s="44"/>
      <c r="Y26" s="44"/>
      <c r="Z26" s="44"/>
      <c r="AA26" s="44"/>
      <c r="AB26" s="44"/>
      <c r="AC26" s="95"/>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3"/>
      <c r="BK26" s="93"/>
      <c r="BL26" s="93"/>
    </row>
    <row r="27" spans="1:64" s="40" customFormat="1" ht="30" customHeight="1" thickBot="1" x14ac:dyDescent="0.3">
      <c r="A27" s="7"/>
      <c r="B27" s="78"/>
      <c r="C27" s="79"/>
      <c r="D27" s="80"/>
      <c r="E27" s="81"/>
      <c r="F27" s="81"/>
      <c r="G27" s="11"/>
      <c r="H27" s="5" t="str">
        <f t="shared" si="2"/>
        <v/>
      </c>
      <c r="I27" s="39"/>
      <c r="J27" s="39"/>
      <c r="K27" s="39"/>
      <c r="L27" s="39"/>
      <c r="M27" s="39"/>
      <c r="N27" s="39"/>
      <c r="O27" s="39"/>
      <c r="P27" s="39"/>
      <c r="Q27" s="39"/>
      <c r="R27" s="39"/>
      <c r="S27" s="39"/>
      <c r="T27" s="39"/>
      <c r="U27" s="39"/>
      <c r="V27" s="39"/>
      <c r="W27" s="39"/>
      <c r="X27" s="39"/>
      <c r="Y27" s="39"/>
      <c r="Z27" s="39"/>
      <c r="AA27" s="39"/>
      <c r="AB27" s="39"/>
      <c r="AC27" s="39"/>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3"/>
      <c r="BK27" s="93"/>
      <c r="BL27" s="93"/>
    </row>
    <row r="28" spans="1:64" s="40" customFormat="1" ht="30" customHeight="1" thickBot="1" x14ac:dyDescent="0.3">
      <c r="A28" s="8"/>
      <c r="B28" s="82" t="s">
        <v>17</v>
      </c>
      <c r="C28" s="83"/>
      <c r="D28" s="84"/>
      <c r="E28" s="85"/>
      <c r="F28" s="86"/>
      <c r="G28" s="11"/>
      <c r="H28" s="6" t="str">
        <f t="shared" si="2"/>
        <v/>
      </c>
      <c r="I28" s="87"/>
      <c r="J28" s="87"/>
      <c r="K28" s="87"/>
      <c r="L28" s="87"/>
      <c r="M28" s="87"/>
      <c r="N28" s="87"/>
      <c r="O28" s="87"/>
      <c r="P28" s="87"/>
      <c r="Q28" s="87"/>
      <c r="R28" s="87"/>
      <c r="S28" s="87"/>
      <c r="T28" s="87"/>
      <c r="U28" s="87"/>
      <c r="V28" s="87"/>
      <c r="W28" s="87"/>
      <c r="X28" s="87"/>
      <c r="Y28" s="87"/>
      <c r="Z28" s="87"/>
      <c r="AA28" s="87"/>
      <c r="AB28" s="87"/>
      <c r="AC28" s="87"/>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c r="BK28" s="93"/>
      <c r="BL28" s="93"/>
    </row>
    <row r="29" spans="1:64" ht="30" customHeight="1" x14ac:dyDescent="0.25">
      <c r="G29" s="3"/>
    </row>
    <row r="30" spans="1:64" ht="30" customHeight="1" x14ac:dyDescent="0.25">
      <c r="C30" s="10"/>
      <c r="F30" s="9"/>
    </row>
    <row r="31" spans="1:64" ht="30" customHeight="1" x14ac:dyDescent="0.25">
      <c r="C31"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28">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6">
    <cfRule type="expression" dxfId="8" priority="1">
      <formula>AND(TODAY()&gt;=I$5, TODAY()&lt;J$5)</formula>
    </cfRule>
  </conditionalFormatting>
  <conditionalFormatting sqref="I9:BL11">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3:BL16">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8:BL21">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3:BL26">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7" xr:uid="{956902D1-D3B5-416D-BB69-9362D193BC0A}"/>
    <dataValidation allowBlank="1" showInputMessage="1" showErrorMessage="1" prompt="Phase 4's sample block starts in cell B26." sqref="A22"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8"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2" fitToHeight="0" orientation="landscape" r:id="rId3"/>
  <headerFooter differentFirst="1" scaleWithDoc="0">
    <oddFooter>Page &amp;P of &amp;N</oddFooter>
  </headerFooter>
  <ignoredErrors>
    <ignoredError sqref="F16 F19:F20"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230e9df3-be65-4c73-a93b-d1236ebd677e"/>
    <ds:schemaRef ds:uri="http://purl.org/dc/dcmitype/"/>
    <ds:schemaRef ds:uri="71af3243-3dd4-4a8d-8c0d-dd76da1f02a5"/>
    <ds:schemaRef ds:uri="http://schemas.microsoft.com/sharepoint/v3"/>
    <ds:schemaRef ds:uri="http://schemas.microsoft.com/office/2006/documentManagement/types"/>
    <ds:schemaRef ds:uri="http://purl.org/dc/terms/"/>
    <ds:schemaRef ds:uri="http://purl.org/dc/elements/1.1/"/>
    <ds:schemaRef ds:uri="http://schemas.microsoft.com/office/infopath/2007/PartnerControls"/>
    <ds:schemaRef ds:uri="http://www.w3.org/XML/1998/namespace"/>
    <ds:schemaRef ds:uri="http://schemas.openxmlformats.org/package/2006/metadata/core-properties"/>
    <ds:schemaRef ds:uri="16c05727-aa75-4e4a-9b5f-8a80a1165891"/>
    <ds:schemaRef ds:uri="http://schemas.microsoft.com/office/2006/metadata/propertie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Benjamin Wehrbein</dc:creator>
  <cp:keywords/>
  <dc:description/>
  <cp:lastModifiedBy>Macy Falconer</cp:lastModifiedBy>
  <cp:revision/>
  <cp:lastPrinted>2026-02-13T02:49:44Z</cp:lastPrinted>
  <dcterms:created xsi:type="dcterms:W3CDTF">2026-02-12T18:44:55Z</dcterms:created>
  <dcterms:modified xsi:type="dcterms:W3CDTF">2026-03-31T19:03:25Z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